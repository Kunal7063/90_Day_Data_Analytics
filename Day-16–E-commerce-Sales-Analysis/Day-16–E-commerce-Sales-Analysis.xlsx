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16–E-commerce-Sales-Analysis\"/>
    </mc:Choice>
  </mc:AlternateContent>
  <xr:revisionPtr revIDLastSave="0" documentId="13_ncr:1_{16427908-C996-4E50-AEB3-A2677E12746A}" xr6:coauthVersionLast="47" xr6:coauthVersionMax="47" xr10:uidLastSave="{00000000-0000-0000-0000-000000000000}"/>
  <bookViews>
    <workbookView xWindow="-120" yWindow="-120" windowWidth="20730" windowHeight="11280" activeTab="2" xr2:uid="{CEC176B5-ADB1-4237-B714-C2984A178F3C}"/>
  </bookViews>
  <sheets>
    <sheet name="Data" sheetId="1" r:id="rId1"/>
    <sheet name="Pivot Table" sheetId="2" r:id="rId2"/>
    <sheet name="Dashboard" sheetId="4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4" l="1"/>
  <c r="P12" i="4"/>
  <c r="P13" i="4"/>
  <c r="J3" i="1"/>
  <c r="J4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9" i="1"/>
  <c r="I10" i="1"/>
  <c r="I11" i="1"/>
  <c r="J2" i="1"/>
  <c r="I2" i="1"/>
  <c r="Q12" i="4"/>
  <c r="Q13" i="4"/>
  <c r="Q11" i="4"/>
</calcChain>
</file>

<file path=xl/sharedStrings.xml><?xml version="1.0" encoding="utf-8"?>
<sst xmlns="http://schemas.openxmlformats.org/spreadsheetml/2006/main" count="100" uniqueCount="44">
  <si>
    <t>Order_ID</t>
  </si>
  <si>
    <t>Date</t>
  </si>
  <si>
    <t>Customer</t>
  </si>
  <si>
    <t>Product</t>
  </si>
  <si>
    <t>Category</t>
  </si>
  <si>
    <t>Sales</t>
  </si>
  <si>
    <t>Quantity</t>
  </si>
  <si>
    <t>Region</t>
  </si>
  <si>
    <t>Rahul</t>
  </si>
  <si>
    <t>Laptop</t>
  </si>
  <si>
    <t>Electronics</t>
  </si>
  <si>
    <t>East</t>
  </si>
  <si>
    <t>Amit</t>
  </si>
  <si>
    <t>Phone</t>
  </si>
  <si>
    <t>West</t>
  </si>
  <si>
    <t>Neha</t>
  </si>
  <si>
    <t>Shoes</t>
  </si>
  <si>
    <t>Fashion</t>
  </si>
  <si>
    <t>North</t>
  </si>
  <si>
    <t>Priya</t>
  </si>
  <si>
    <t>Jacket</t>
  </si>
  <si>
    <t>Arjun</t>
  </si>
  <si>
    <t>Headphones</t>
  </si>
  <si>
    <t>South</t>
  </si>
  <si>
    <t>Ravi</t>
  </si>
  <si>
    <t>Table</t>
  </si>
  <si>
    <t>Furniture</t>
  </si>
  <si>
    <t>Sneha</t>
  </si>
  <si>
    <t>Chair</t>
  </si>
  <si>
    <t>Karan</t>
  </si>
  <si>
    <t>Meena</t>
  </si>
  <si>
    <t>Vikram</t>
  </si>
  <si>
    <t>Revenue per Item</t>
  </si>
  <si>
    <t>Order Size</t>
  </si>
  <si>
    <t>📊 A. Sales by Category</t>
  </si>
  <si>
    <t>Sum of Sales</t>
  </si>
  <si>
    <t>Row Labels</t>
  </si>
  <si>
    <t>Grand Total</t>
  </si>
  <si>
    <t>📊 B. Sales by Region</t>
  </si>
  <si>
    <t>📊 C. Sales Trend by Date</t>
  </si>
  <si>
    <t>📊 D. Top Customers</t>
  </si>
  <si>
    <t>Sum of Quantity</t>
  </si>
  <si>
    <t>=Pivot!A36</t>
  </si>
  <si>
    <t>=Pivot!B36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</si>
</sst>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  <xf numFmtId="170" fontId="0" fillId="0" borderId="0" xfId="0" applyNumberFormat="1"/>
    <xf numFmtId="0" fontId="1" fillId="0" borderId="0" xfId="0" applyFont="1" applyAlignment="1">
      <alignment vertical="center"/>
    </xf>
    <xf numFmtId="17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0" fontId="1" fillId="0" borderId="2" xfId="0" applyFont="1" applyBorder="1"/>
    <xf numFmtId="170" fontId="0" fillId="0" borderId="4" xfId="0" applyNumberFormat="1" applyBorder="1"/>
    <xf numFmtId="170" fontId="0" fillId="0" borderId="6" xfId="0" applyNumberForma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Table'!$B$4:$B$7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Fashion</c:v>
                </c:pt>
              </c:strCache>
            </c:strRef>
          </c:cat>
          <c:val>
            <c:numRef>
              <c:f>'Pivot Table'!$C$4:$C$7</c:f>
              <c:numCache>
                <c:formatCode>_ [$₹-4009]\ * #,##0_ ;_ [$₹-4009]\ * \-#,##0_ ;_ [$₹-4009]\ * "-"??_ ;_ @_ </c:formatCode>
                <c:ptCount val="3"/>
                <c:pt idx="0">
                  <c:v>148500</c:v>
                </c:pt>
                <c:pt idx="1">
                  <c:v>23000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E-4024-A0EC-5B4B477DD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033824"/>
        <c:axId val="228029024"/>
        <c:axId val="0"/>
      </c:bar3DChart>
      <c:catAx>
        <c:axId val="2280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29024"/>
        <c:crosses val="autoZero"/>
        <c:auto val="1"/>
        <c:lblAlgn val="ctr"/>
        <c:lblOffset val="100"/>
        <c:noMultiLvlLbl val="0"/>
      </c:catAx>
      <c:valAx>
        <c:axId val="2280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3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'Pivot Table'!$B$12:$B$16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'Pivot Table'!$C$12:$C$16</c:f>
              <c:numCache>
                <c:formatCode>0.00%</c:formatCode>
                <c:ptCount val="4"/>
                <c:pt idx="0">
                  <c:v>0.3415977961432507</c:v>
                </c:pt>
                <c:pt idx="1">
                  <c:v>0.3168044077134986</c:v>
                </c:pt>
                <c:pt idx="2">
                  <c:v>0.18181818181818182</c:v>
                </c:pt>
                <c:pt idx="3">
                  <c:v>0.15977961432506887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0-452A-AA35-AC1D3A048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Table!PivotTable4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Table'!$B$21:$B$31</c:f>
              <c:strCache>
                <c:ptCount val="10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05-01-2024</c:v>
                </c:pt>
                <c:pt idx="5">
                  <c:v>06-01-2024</c:v>
                </c:pt>
                <c:pt idx="6">
                  <c:v>07-01-2024</c:v>
                </c:pt>
                <c:pt idx="7">
                  <c:v>08-01-2024</c:v>
                </c:pt>
                <c:pt idx="8">
                  <c:v>09-01-2024</c:v>
                </c:pt>
                <c:pt idx="9">
                  <c:v>10-01-2024</c:v>
                </c:pt>
              </c:strCache>
            </c:strRef>
          </c:cat>
          <c:val>
            <c:numRef>
              <c:f>'Pivot Table'!$C$21:$C$31</c:f>
              <c:numCache>
                <c:formatCode>_ [$₹-4009]\ * #,##0_ ;_ [$₹-4009]\ * \-#,##0_ ;_ [$₹-4009]\ * "-"??_ ;_ @_ </c:formatCode>
                <c:ptCount val="10"/>
                <c:pt idx="0">
                  <c:v>55000</c:v>
                </c:pt>
                <c:pt idx="1">
                  <c:v>18000</c:v>
                </c:pt>
                <c:pt idx="2">
                  <c:v>3000</c:v>
                </c:pt>
                <c:pt idx="3">
                  <c:v>4000</c:v>
                </c:pt>
                <c:pt idx="4">
                  <c:v>2500</c:v>
                </c:pt>
                <c:pt idx="5">
                  <c:v>15000</c:v>
                </c:pt>
                <c:pt idx="6">
                  <c:v>8000</c:v>
                </c:pt>
                <c:pt idx="7">
                  <c:v>55000</c:v>
                </c:pt>
                <c:pt idx="8">
                  <c:v>3000</c:v>
                </c:pt>
                <c:pt idx="9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6-489B-AC8C-5665039CE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008720"/>
        <c:axId val="623011120"/>
      </c:lineChart>
      <c:catAx>
        <c:axId val="6230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11120"/>
        <c:crosses val="autoZero"/>
        <c:auto val="1"/>
        <c:lblAlgn val="ctr"/>
        <c:lblOffset val="100"/>
        <c:noMultiLvlLbl val="0"/>
      </c:catAx>
      <c:valAx>
        <c:axId val="6230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Table'!$B$4:$B$7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Fashion</c:v>
                </c:pt>
              </c:strCache>
            </c:strRef>
          </c:cat>
          <c:val>
            <c:numRef>
              <c:f>'Pivot Table'!$C$4:$C$7</c:f>
              <c:numCache>
                <c:formatCode>_ [$₹-4009]\ * #,##0_ ;_ [$₹-4009]\ * \-#,##0_ ;_ [$₹-4009]\ * "-"??_ ;_ @_ </c:formatCode>
                <c:ptCount val="3"/>
                <c:pt idx="0">
                  <c:v>148500</c:v>
                </c:pt>
                <c:pt idx="1">
                  <c:v>23000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8-4633-AB01-3663CC5520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28033824"/>
        <c:axId val="228029024"/>
        <c:axId val="0"/>
      </c:bar3DChart>
      <c:catAx>
        <c:axId val="2280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29024"/>
        <c:crosses val="autoZero"/>
        <c:auto val="1"/>
        <c:lblAlgn val="ctr"/>
        <c:lblOffset val="100"/>
        <c:noMultiLvlLbl val="0"/>
      </c:catAx>
      <c:valAx>
        <c:axId val="2280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3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2">
                    <a:lumMod val="75000"/>
                  </a:schemeClr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B83-476C-94C5-AA1649803F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B83-476C-94C5-AA1649803F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B83-476C-94C5-AA1649803F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B83-476C-94C5-AA1649803F0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B83-476C-94C5-AA1649803F0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B83-476C-94C5-AA1649803F0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B83-476C-94C5-AA1649803F0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B83-476C-94C5-AA1649803F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Table'!$B$12:$B$16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'Pivot Table'!$C$12:$C$16</c:f>
              <c:numCache>
                <c:formatCode>0.00%</c:formatCode>
                <c:ptCount val="4"/>
                <c:pt idx="0">
                  <c:v>0.3415977961432507</c:v>
                </c:pt>
                <c:pt idx="1">
                  <c:v>0.3168044077134986</c:v>
                </c:pt>
                <c:pt idx="2">
                  <c:v>0.18181818181818182</c:v>
                </c:pt>
                <c:pt idx="3">
                  <c:v>0.15977961432506887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83-476C-94C5-AA1649803F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Sales Trend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Table'!$B$21:$B$31</c:f>
              <c:strCache>
                <c:ptCount val="10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05-01-2024</c:v>
                </c:pt>
                <c:pt idx="5">
                  <c:v>06-01-2024</c:v>
                </c:pt>
                <c:pt idx="6">
                  <c:v>07-01-2024</c:v>
                </c:pt>
                <c:pt idx="7">
                  <c:v>08-01-2024</c:v>
                </c:pt>
                <c:pt idx="8">
                  <c:v>09-01-2024</c:v>
                </c:pt>
                <c:pt idx="9">
                  <c:v>10-01-2024</c:v>
                </c:pt>
              </c:strCache>
            </c:strRef>
          </c:cat>
          <c:val>
            <c:numRef>
              <c:f>'Pivot Table'!$C$21:$C$31</c:f>
              <c:numCache>
                <c:formatCode>_ [$₹-4009]\ * #,##0_ ;_ [$₹-4009]\ * \-#,##0_ ;_ [$₹-4009]\ * "-"??_ ;_ @_ </c:formatCode>
                <c:ptCount val="10"/>
                <c:pt idx="0">
                  <c:v>55000</c:v>
                </c:pt>
                <c:pt idx="1">
                  <c:v>18000</c:v>
                </c:pt>
                <c:pt idx="2">
                  <c:v>3000</c:v>
                </c:pt>
                <c:pt idx="3">
                  <c:v>4000</c:v>
                </c:pt>
                <c:pt idx="4">
                  <c:v>2500</c:v>
                </c:pt>
                <c:pt idx="5">
                  <c:v>15000</c:v>
                </c:pt>
                <c:pt idx="6">
                  <c:v>8000</c:v>
                </c:pt>
                <c:pt idx="7">
                  <c:v>55000</c:v>
                </c:pt>
                <c:pt idx="8">
                  <c:v>3000</c:v>
                </c:pt>
                <c:pt idx="9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2-4A40-B2A6-719E5F8768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3008720"/>
        <c:axId val="623011120"/>
      </c:lineChart>
      <c:catAx>
        <c:axId val="6230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11120"/>
        <c:crosses val="autoZero"/>
        <c:auto val="1"/>
        <c:lblAlgn val="ctr"/>
        <c:lblOffset val="100"/>
        <c:noMultiLvlLbl val="0"/>
      </c:catAx>
      <c:valAx>
        <c:axId val="6230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Table'!$B$4:$B$7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Fashion</c:v>
                </c:pt>
              </c:strCache>
            </c:strRef>
          </c:cat>
          <c:val>
            <c:numRef>
              <c:f>'Pivot Table'!$C$4:$C$7</c:f>
              <c:numCache>
                <c:formatCode>_ [$₹-4009]\ * #,##0_ ;_ [$₹-4009]\ * \-#,##0_ ;_ [$₹-4009]\ * "-"??_ ;_ @_ </c:formatCode>
                <c:ptCount val="3"/>
                <c:pt idx="0">
                  <c:v>148500</c:v>
                </c:pt>
                <c:pt idx="1">
                  <c:v>23000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9-49ED-A128-7825611E51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28033824"/>
        <c:axId val="228029024"/>
        <c:axId val="0"/>
      </c:bar3DChart>
      <c:catAx>
        <c:axId val="2280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29024"/>
        <c:crosses val="autoZero"/>
        <c:auto val="1"/>
        <c:lblAlgn val="ctr"/>
        <c:lblOffset val="100"/>
        <c:noMultiLvlLbl val="0"/>
      </c:catAx>
      <c:valAx>
        <c:axId val="2280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3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2">
                    <a:lumMod val="75000"/>
                  </a:schemeClr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92B-44BF-BF89-20DC0AA912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92B-44BF-BF89-20DC0AA912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92B-44BF-BF89-20DC0AA912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92B-44BF-BF89-20DC0AA912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Table'!$B$12:$B$16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'Pivot Table'!$C$12:$C$16</c:f>
              <c:numCache>
                <c:formatCode>0.00%</c:formatCode>
                <c:ptCount val="4"/>
                <c:pt idx="0">
                  <c:v>0.3415977961432507</c:v>
                </c:pt>
                <c:pt idx="1">
                  <c:v>0.3168044077134986</c:v>
                </c:pt>
                <c:pt idx="2">
                  <c:v>0.18181818181818182</c:v>
                </c:pt>
                <c:pt idx="3">
                  <c:v>0.15977961432506887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2B-44BF-BF89-20DC0AA912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[Day-16–E-commerce-Sales-Analysis.xlsx]Pivot Table!PivotTable4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Sales Trend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Table'!$B$21:$B$31</c:f>
              <c:strCache>
                <c:ptCount val="10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05-01-2024</c:v>
                </c:pt>
                <c:pt idx="5">
                  <c:v>06-01-2024</c:v>
                </c:pt>
                <c:pt idx="6">
                  <c:v>07-01-2024</c:v>
                </c:pt>
                <c:pt idx="7">
                  <c:v>08-01-2024</c:v>
                </c:pt>
                <c:pt idx="8">
                  <c:v>09-01-2024</c:v>
                </c:pt>
                <c:pt idx="9">
                  <c:v>10-01-2024</c:v>
                </c:pt>
              </c:strCache>
            </c:strRef>
          </c:cat>
          <c:val>
            <c:numRef>
              <c:f>'Pivot Table'!$C$21:$C$31</c:f>
              <c:numCache>
                <c:formatCode>_ [$₹-4009]\ * #,##0_ ;_ [$₹-4009]\ * \-#,##0_ ;_ [$₹-4009]\ * "-"??_ ;_ @_ </c:formatCode>
                <c:ptCount val="10"/>
                <c:pt idx="0">
                  <c:v>55000</c:v>
                </c:pt>
                <c:pt idx="1">
                  <c:v>18000</c:v>
                </c:pt>
                <c:pt idx="2">
                  <c:v>3000</c:v>
                </c:pt>
                <c:pt idx="3">
                  <c:v>4000</c:v>
                </c:pt>
                <c:pt idx="4">
                  <c:v>2500</c:v>
                </c:pt>
                <c:pt idx="5">
                  <c:v>15000</c:v>
                </c:pt>
                <c:pt idx="6">
                  <c:v>8000</c:v>
                </c:pt>
                <c:pt idx="7">
                  <c:v>55000</c:v>
                </c:pt>
                <c:pt idx="8">
                  <c:v>3000</c:v>
                </c:pt>
                <c:pt idx="9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9-4549-BA45-EF720802AF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3008720"/>
        <c:axId val="623011120"/>
      </c:lineChart>
      <c:catAx>
        <c:axId val="6230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11120"/>
        <c:crosses val="autoZero"/>
        <c:auto val="1"/>
        <c:lblAlgn val="ctr"/>
        <c:lblOffset val="100"/>
        <c:noMultiLvlLbl val="0"/>
      </c:catAx>
      <c:valAx>
        <c:axId val="6230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421481</xdr:colOff>
      <xdr:row>0</xdr:row>
      <xdr:rowOff>111919</xdr:rowOff>
    </xdr:from>
    <xdr:to>
      <xdr:col>20</xdr:col>
      <xdr:colOff>240506</xdr:colOff>
      <xdr:row>9</xdr:row>
      <xdr:rowOff>135732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22490-DF1D-4FC4-40AF-BD8CA750D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104775</xdr:colOff>
      <xdr:row>0</xdr:row>
      <xdr:rowOff>0</xdr:rowOff>
    </xdr:from>
    <xdr:to>
      <xdr:col>23</xdr:col>
      <xdr:colOff>1162050</xdr:colOff>
      <xdr:row>9</xdr:row>
      <xdr:rowOff>147638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5B186-45C1-D8E9-95A2-1AD4DE000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269081</xdr:colOff>
      <xdr:row>5</xdr:row>
      <xdr:rowOff>35718</xdr:rowOff>
    </xdr:from>
    <xdr:to>
      <xdr:col>23</xdr:col>
      <xdr:colOff>247650</xdr:colOff>
      <xdr:row>17</xdr:row>
      <xdr:rowOff>78581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BDA3EA-AEA2-720F-6866-4D62EAF3B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611983</xdr:colOff>
      <xdr:row>0</xdr:row>
      <xdr:rowOff>83345</xdr:rowOff>
    </xdr:from>
    <xdr:to>
      <xdr:col>10</xdr:col>
      <xdr:colOff>385424</xdr:colOff>
      <xdr:row>13</xdr:row>
      <xdr:rowOff>71439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93A5CA-4038-4A9D-9A55-19E74BC15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664370</xdr:colOff>
      <xdr:row>13</xdr:row>
      <xdr:rowOff>130970</xdr:rowOff>
    </xdr:from>
    <xdr:to>
      <xdr:col>10</xdr:col>
      <xdr:colOff>133011</xdr:colOff>
      <xdr:row>26</xdr:row>
      <xdr:rowOff>169070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6D9B78-1280-4DCB-A829-92B2C6028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523876</xdr:colOff>
      <xdr:row>27</xdr:row>
      <xdr:rowOff>30955</xdr:rowOff>
    </xdr:from>
    <xdr:to>
      <xdr:col>18</xdr:col>
      <xdr:colOff>263641</xdr:colOff>
      <xdr:row>43</xdr:row>
      <xdr:rowOff>59530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4BFF18-0803-4FF1-A1B7-618898CA1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0</xdr:rowOff>
    </xdr:from>
    <xdr:to>
      <xdr:col>7</xdr:col>
      <xdr:colOff>495300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BCC72-50F3-477A-B1CF-AFFC7A2AE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209550</xdr:colOff>
      <xdr:row>2</xdr:row>
      <xdr:rowOff>0</xdr:rowOff>
    </xdr:from>
    <xdr:to>
      <xdr:col>14</xdr:col>
      <xdr:colOff>361950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7EC11-9981-49F7-8D9A-E8DAD35AA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9524</xdr:colOff>
      <xdr:row>16</xdr:row>
      <xdr:rowOff>19049</xdr:rowOff>
    </xdr:from>
    <xdr:to>
      <xdr:col>13</xdr:col>
      <xdr:colOff>581025</xdr:colOff>
      <xdr:row>32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5E3895-4A8C-4895-9725-4E3112BCE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Das" refreshedDate="46108.431168287039" createdVersion="8" refreshedVersion="8" minRefreshableVersion="3" recordCount="10" xr:uid="{736D0FAA-E428-42EE-B510-3F1A804C3FAF}">
  <cacheSource type="worksheet">
    <worksheetSource ref="A1:J11" sheet="Data"/>
  </cacheSource>
  <cacheFields count="10">
    <cacheField name="Order_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Date" numFmtId="14">
      <sharedItems containsSemiMixedTypes="0" containsNonDate="0" containsDate="1" containsString="0" minDate="2024-01-01T00:00:00" maxDate="2024-01-11T00:00:00" count="1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</sharedItems>
    </cacheField>
    <cacheField name="Customer" numFmtId="0">
      <sharedItems count="10">
        <s v="Rahul"/>
        <s v="Amit"/>
        <s v="Neha"/>
        <s v="Priya"/>
        <s v="Arjun"/>
        <s v="Ravi"/>
        <s v="Sneha"/>
        <s v="Karan"/>
        <s v="Meena"/>
        <s v="Vikram"/>
      </sharedItems>
    </cacheField>
    <cacheField name="Product" numFmtId="0">
      <sharedItems count="7">
        <s v="Laptop"/>
        <s v="Phone"/>
        <s v="Shoes"/>
        <s v="Jacket"/>
        <s v="Headphones"/>
        <s v="Table"/>
        <s v="Chair"/>
      </sharedItems>
    </cacheField>
    <cacheField name="Category" numFmtId="0">
      <sharedItems count="3">
        <s v="Electronics"/>
        <s v="Fashion"/>
        <s v="Furniture"/>
      </sharedItems>
    </cacheField>
    <cacheField name="Sales" numFmtId="170">
      <sharedItems containsSemiMixedTypes="0" containsString="0" containsNumber="1" containsInteger="1" minValue="2500" maxValue="55000"/>
    </cacheField>
    <cacheField name="Quantity" numFmtId="0">
      <sharedItems containsSemiMixedTypes="0" containsString="0" containsNumber="1" containsInteger="1" minValue="1" maxValue="2"/>
    </cacheField>
    <cacheField name="Region" numFmtId="0">
      <sharedItems count="4">
        <s v="East"/>
        <s v="West"/>
        <s v="North"/>
        <s v="South"/>
      </sharedItems>
    </cacheField>
    <cacheField name="Revenue per Item" numFmtId="170">
      <sharedItems containsSemiMixedTypes="0" containsString="0" containsNumber="1" containsInteger="1" minValue="1500" maxValue="55000"/>
    </cacheField>
    <cacheField name="Order 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n v="55000"/>
    <n v="1"/>
    <x v="0"/>
    <n v="55000"/>
    <s v="High"/>
  </r>
  <r>
    <x v="1"/>
    <x v="1"/>
    <x v="1"/>
    <x v="1"/>
    <x v="0"/>
    <n v="18000"/>
    <n v="1"/>
    <x v="1"/>
    <n v="18000"/>
    <s v="Low"/>
  </r>
  <r>
    <x v="2"/>
    <x v="2"/>
    <x v="2"/>
    <x v="2"/>
    <x v="1"/>
    <n v="3000"/>
    <n v="2"/>
    <x v="2"/>
    <n v="1500"/>
    <s v="Low"/>
  </r>
  <r>
    <x v="3"/>
    <x v="3"/>
    <x v="3"/>
    <x v="3"/>
    <x v="1"/>
    <n v="4000"/>
    <n v="1"/>
    <x v="0"/>
    <n v="4000"/>
    <s v="Low"/>
  </r>
  <r>
    <x v="4"/>
    <x v="4"/>
    <x v="4"/>
    <x v="4"/>
    <x v="0"/>
    <n v="2500"/>
    <n v="1"/>
    <x v="3"/>
    <n v="2500"/>
    <s v="Low"/>
  </r>
  <r>
    <x v="5"/>
    <x v="5"/>
    <x v="5"/>
    <x v="5"/>
    <x v="2"/>
    <n v="15000"/>
    <n v="1"/>
    <x v="1"/>
    <n v="15000"/>
    <s v="Low"/>
  </r>
  <r>
    <x v="6"/>
    <x v="6"/>
    <x v="6"/>
    <x v="6"/>
    <x v="2"/>
    <n v="8000"/>
    <n v="2"/>
    <x v="2"/>
    <n v="4000"/>
    <s v="Low"/>
  </r>
  <r>
    <x v="7"/>
    <x v="7"/>
    <x v="7"/>
    <x v="0"/>
    <x v="0"/>
    <n v="55000"/>
    <n v="1"/>
    <x v="3"/>
    <n v="55000"/>
    <s v="High"/>
  </r>
  <r>
    <x v="8"/>
    <x v="8"/>
    <x v="8"/>
    <x v="2"/>
    <x v="1"/>
    <n v="3000"/>
    <n v="1"/>
    <x v="0"/>
    <n v="3000"/>
    <s v="Low"/>
  </r>
  <r>
    <x v="9"/>
    <x v="9"/>
    <x v="9"/>
    <x v="1"/>
    <x v="0"/>
    <n v="18000"/>
    <n v="2"/>
    <x v="2"/>
    <n v="9000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C0002-5609-447D-B60F-CA5D1753C685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51:D62" firstHeaderRow="0" firstDataRow="1" firstDataCol="1"/>
  <pivotFields count="10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axis="axisRow" showAll="0" sortType="descending">
      <items count="8">
        <item x="6"/>
        <item x="4"/>
        <item x="3"/>
        <item x="0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70" showAll="0"/>
    <pivotField dataField="1" showAll="0"/>
    <pivotField showAll="0"/>
    <pivotField numFmtId="170" showAll="0"/>
    <pivotField showAll="0"/>
  </pivotFields>
  <rowFields count="2">
    <field x="4"/>
    <field x="3"/>
  </rowFields>
  <rowItems count="11">
    <i>
      <x/>
    </i>
    <i r="1">
      <x v="4"/>
    </i>
    <i r="1">
      <x v="3"/>
    </i>
    <i r="1">
      <x v="1"/>
    </i>
    <i>
      <x v="1"/>
    </i>
    <i r="1">
      <x v="5"/>
    </i>
    <i r="1">
      <x v="2"/>
    </i>
    <i>
      <x v="2"/>
    </i>
    <i r="1">
      <x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 numFmtId="170"/>
    <dataField name="Sum of Quantity" fld="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3D4CD-F30C-44F4-AF90-44DC4B81237C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5:C40" firstHeaderRow="1" firstDataRow="1" firstDataCol="1"/>
  <pivotFields count="10"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measureFilter="1" sortType="descending">
      <items count="11">
        <item x="1"/>
        <item x="4"/>
        <item x="7"/>
        <item x="8"/>
        <item x="2"/>
        <item x="3"/>
        <item x="0"/>
        <item x="5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dataField="1" numFmtId="170" showAll="0"/>
    <pivotField showAll="0"/>
    <pivotField showAll="0">
      <items count="5">
        <item x="0"/>
        <item x="2"/>
        <item x="3"/>
        <item x="1"/>
        <item t="default"/>
      </items>
    </pivotField>
    <pivotField numFmtId="170" showAll="0"/>
    <pivotField showAll="0"/>
  </pivotFields>
  <rowFields count="1">
    <field x="2"/>
  </rowFields>
  <rowItems count="5">
    <i>
      <x v="6"/>
    </i>
    <i>
      <x v="2"/>
    </i>
    <i>
      <x v="9"/>
    </i>
    <i>
      <x/>
    </i>
    <i t="grand">
      <x/>
    </i>
  </rowItems>
  <colItems count="1">
    <i/>
  </colItems>
  <dataFields count="1">
    <dataField name="Sum of Sales" fld="5" baseField="2" baseItem="0" numFmtId="17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0E3B7-B799-471E-BCB3-57FD93561195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B20:C31" firstHeaderRow="1" firstDataRow="1" firstDataCol="1"/>
  <pivotFields count="10">
    <pivotField showAll="0"/>
    <pivotField axis="axisRow" numFmtId="14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70" showAll="0"/>
    <pivotField showAll="0"/>
    <pivotField showAll="0">
      <items count="5">
        <item x="0"/>
        <item x="2"/>
        <item x="3"/>
        <item x="1"/>
        <item t="default"/>
      </items>
    </pivotField>
    <pivotField numFmtId="170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5" baseField="0" baseItem="0" numFmtId="170"/>
  </dataFields>
  <chartFormats count="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5254F-89A5-479A-82F8-0C20A6C770A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1:C16" firstHeaderRow="1" firstDataRow="1" firstDataCol="1"/>
  <pivotFields count="10">
    <pivotField showAll="0"/>
    <pivotField numFmtId="14" showAll="0"/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70"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0" showAll="0"/>
    <pivotField showAll="0"/>
  </pivotFields>
  <rowFields count="1">
    <field x="7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5" showDataAs="percentOfTotal" baseField="0" baseItem="0" numFmtId="10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06B6E-1E99-465D-B7AA-3A8C744A8DA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3:C7" firstHeaderRow="1" firstDataRow="1" firstDataCol="1"/>
  <pivotFields count="10">
    <pivotField showAll="0"/>
    <pivotField numFmtId="14" showAll="0"/>
    <pivotField showAll="0"/>
    <pivotField showAll="0">
      <items count="8">
        <item x="6"/>
        <item x="4"/>
        <item x="3"/>
        <item x="0"/>
        <item x="1"/>
        <item x="2"/>
        <item x="5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70" showAll="0"/>
    <pivotField showAll="0"/>
    <pivotField showAll="0"/>
    <pivotField numFmtId="170"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Sales" fld="5" baseField="0" baseItem="0" numFmtId="17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BDD3-A995-4EFD-AD7A-1A11A0C7F18F}">
  <dimension ref="A1:J11"/>
  <sheetViews>
    <sheetView workbookViewId="0">
      <selection activeCell="C15" sqref="C15"/>
    </sheetView>
  </sheetViews>
  <sheetFormatPr defaultRowHeight="15" x14ac:dyDescent="0.25"/>
  <cols>
    <col min="2" max="2" width="15" customWidth="1"/>
    <col min="3" max="3" width="11.85546875" customWidth="1"/>
    <col min="4" max="4" width="11.28515625" customWidth="1"/>
    <col min="5" max="5" width="12" customWidth="1"/>
    <col min="6" max="6" width="10.5703125" customWidth="1"/>
    <col min="10" max="10" width="10.140625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32</v>
      </c>
      <c r="J1" s="6" t="s">
        <v>33</v>
      </c>
    </row>
    <row r="2" spans="1:10" x14ac:dyDescent="0.25">
      <c r="A2" s="1">
        <v>1001</v>
      </c>
      <c r="B2" s="3">
        <v>45292</v>
      </c>
      <c r="C2" s="1" t="s">
        <v>8</v>
      </c>
      <c r="D2" s="1" t="s">
        <v>9</v>
      </c>
      <c r="E2" s="1" t="s">
        <v>10</v>
      </c>
      <c r="F2" s="4">
        <v>55000</v>
      </c>
      <c r="G2" s="1">
        <v>1</v>
      </c>
      <c r="H2" s="1" t="s">
        <v>11</v>
      </c>
      <c r="I2" s="7">
        <f>F2/G2</f>
        <v>55000</v>
      </c>
      <c r="J2" s="8" t="str">
        <f>IF(F2&gt;20000, "High", "Low")</f>
        <v>High</v>
      </c>
    </row>
    <row r="3" spans="1:10" x14ac:dyDescent="0.25">
      <c r="A3" s="1">
        <v>1002</v>
      </c>
      <c r="B3" s="3">
        <v>45293</v>
      </c>
      <c r="C3" s="1" t="s">
        <v>12</v>
      </c>
      <c r="D3" s="1" t="s">
        <v>13</v>
      </c>
      <c r="E3" s="1" t="s">
        <v>10</v>
      </c>
      <c r="F3" s="4">
        <v>18000</v>
      </c>
      <c r="G3" s="1">
        <v>1</v>
      </c>
      <c r="H3" s="1" t="s">
        <v>14</v>
      </c>
      <c r="I3" s="7">
        <f t="shared" ref="I3:I11" si="0">F3/G3</f>
        <v>18000</v>
      </c>
      <c r="J3" s="8" t="str">
        <f t="shared" ref="J3:J11" si="1">IF(F3&gt;20000, "High", "Low")</f>
        <v>Low</v>
      </c>
    </row>
    <row r="4" spans="1:10" x14ac:dyDescent="0.25">
      <c r="A4" s="1">
        <v>1003</v>
      </c>
      <c r="B4" s="3">
        <v>45294</v>
      </c>
      <c r="C4" s="1" t="s">
        <v>15</v>
      </c>
      <c r="D4" s="1" t="s">
        <v>16</v>
      </c>
      <c r="E4" s="1" t="s">
        <v>17</v>
      </c>
      <c r="F4" s="4">
        <v>3000</v>
      </c>
      <c r="G4" s="1">
        <v>2</v>
      </c>
      <c r="H4" s="1" t="s">
        <v>18</v>
      </c>
      <c r="I4" s="7">
        <f t="shared" si="0"/>
        <v>1500</v>
      </c>
      <c r="J4" s="8" t="str">
        <f t="shared" si="1"/>
        <v>Low</v>
      </c>
    </row>
    <row r="5" spans="1:10" x14ac:dyDescent="0.25">
      <c r="A5" s="1">
        <v>1004</v>
      </c>
      <c r="B5" s="3">
        <v>45295</v>
      </c>
      <c r="C5" s="1" t="s">
        <v>19</v>
      </c>
      <c r="D5" s="1" t="s">
        <v>20</v>
      </c>
      <c r="E5" s="1" t="s">
        <v>17</v>
      </c>
      <c r="F5" s="4">
        <v>4000</v>
      </c>
      <c r="G5" s="1">
        <v>1</v>
      </c>
      <c r="H5" s="1" t="s">
        <v>11</v>
      </c>
      <c r="I5" s="7">
        <f t="shared" si="0"/>
        <v>4000</v>
      </c>
      <c r="J5" s="8" t="str">
        <f t="shared" si="1"/>
        <v>Low</v>
      </c>
    </row>
    <row r="6" spans="1:10" ht="30" x14ac:dyDescent="0.25">
      <c r="A6" s="1">
        <v>1005</v>
      </c>
      <c r="B6" s="3">
        <v>45296</v>
      </c>
      <c r="C6" s="1" t="s">
        <v>21</v>
      </c>
      <c r="D6" s="1" t="s">
        <v>22</v>
      </c>
      <c r="E6" s="1" t="s">
        <v>10</v>
      </c>
      <c r="F6" s="4">
        <v>2500</v>
      </c>
      <c r="G6" s="1">
        <v>1</v>
      </c>
      <c r="H6" s="1" t="s">
        <v>23</v>
      </c>
      <c r="I6" s="7">
        <f t="shared" si="0"/>
        <v>2500</v>
      </c>
      <c r="J6" s="8" t="str">
        <f t="shared" si="1"/>
        <v>Low</v>
      </c>
    </row>
    <row r="7" spans="1:10" x14ac:dyDescent="0.25">
      <c r="A7" s="1">
        <v>1006</v>
      </c>
      <c r="B7" s="3">
        <v>45297</v>
      </c>
      <c r="C7" s="1" t="s">
        <v>24</v>
      </c>
      <c r="D7" s="1" t="s">
        <v>25</v>
      </c>
      <c r="E7" s="1" t="s">
        <v>26</v>
      </c>
      <c r="F7" s="4">
        <v>15000</v>
      </c>
      <c r="G7" s="1">
        <v>1</v>
      </c>
      <c r="H7" s="1" t="s">
        <v>14</v>
      </c>
      <c r="I7" s="7">
        <f t="shared" si="0"/>
        <v>15000</v>
      </c>
      <c r="J7" s="8" t="str">
        <f t="shared" si="1"/>
        <v>Low</v>
      </c>
    </row>
    <row r="8" spans="1:10" x14ac:dyDescent="0.25">
      <c r="A8" s="1">
        <v>1007</v>
      </c>
      <c r="B8" s="3">
        <v>45298</v>
      </c>
      <c r="C8" s="1" t="s">
        <v>27</v>
      </c>
      <c r="D8" s="1" t="s">
        <v>28</v>
      </c>
      <c r="E8" s="1" t="s">
        <v>26</v>
      </c>
      <c r="F8" s="4">
        <v>8000</v>
      </c>
      <c r="G8" s="1">
        <v>2</v>
      </c>
      <c r="H8" s="1" t="s">
        <v>18</v>
      </c>
      <c r="I8" s="7">
        <f t="shared" si="0"/>
        <v>4000</v>
      </c>
      <c r="J8" s="8" t="str">
        <f t="shared" si="1"/>
        <v>Low</v>
      </c>
    </row>
    <row r="9" spans="1:10" x14ac:dyDescent="0.25">
      <c r="A9" s="1">
        <v>1008</v>
      </c>
      <c r="B9" s="3">
        <v>45299</v>
      </c>
      <c r="C9" s="1" t="s">
        <v>29</v>
      </c>
      <c r="D9" s="1" t="s">
        <v>9</v>
      </c>
      <c r="E9" s="1" t="s">
        <v>10</v>
      </c>
      <c r="F9" s="4">
        <v>55000</v>
      </c>
      <c r="G9" s="1">
        <v>1</v>
      </c>
      <c r="H9" s="1" t="s">
        <v>23</v>
      </c>
      <c r="I9" s="7">
        <f t="shared" si="0"/>
        <v>55000</v>
      </c>
      <c r="J9" s="8" t="str">
        <f t="shared" si="1"/>
        <v>High</v>
      </c>
    </row>
    <row r="10" spans="1:10" x14ac:dyDescent="0.25">
      <c r="A10" s="1">
        <v>1009</v>
      </c>
      <c r="B10" s="3">
        <v>45300</v>
      </c>
      <c r="C10" s="1" t="s">
        <v>30</v>
      </c>
      <c r="D10" s="1" t="s">
        <v>16</v>
      </c>
      <c r="E10" s="1" t="s">
        <v>17</v>
      </c>
      <c r="F10" s="4">
        <v>3000</v>
      </c>
      <c r="G10" s="1">
        <v>1</v>
      </c>
      <c r="H10" s="1" t="s">
        <v>11</v>
      </c>
      <c r="I10" s="7">
        <f t="shared" si="0"/>
        <v>3000</v>
      </c>
      <c r="J10" s="8" t="str">
        <f t="shared" si="1"/>
        <v>Low</v>
      </c>
    </row>
    <row r="11" spans="1:10" x14ac:dyDescent="0.25">
      <c r="A11" s="1">
        <v>1010</v>
      </c>
      <c r="B11" s="3">
        <v>45301</v>
      </c>
      <c r="C11" s="1" t="s">
        <v>31</v>
      </c>
      <c r="D11" s="1" t="s">
        <v>13</v>
      </c>
      <c r="E11" s="1" t="s">
        <v>10</v>
      </c>
      <c r="F11" s="4">
        <v>18000</v>
      </c>
      <c r="G11" s="1">
        <v>2</v>
      </c>
      <c r="H11" s="1" t="s">
        <v>18</v>
      </c>
      <c r="I11" s="7">
        <f t="shared" si="0"/>
        <v>9000</v>
      </c>
      <c r="J11" s="8" t="str">
        <f t="shared" si="1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3486-4546-4F93-9EC4-387B7A81B2AA}">
  <dimension ref="A2:D62"/>
  <sheetViews>
    <sheetView topLeftCell="A17" zoomScale="80" zoomScaleNormal="80" workbookViewId="0">
      <selection activeCell="B35" sqref="B35:C40"/>
    </sheetView>
  </sheetViews>
  <sheetFormatPr defaultRowHeight="15" x14ac:dyDescent="0.25"/>
  <cols>
    <col min="2" max="2" width="14.140625" bestFit="1" customWidth="1"/>
    <col min="3" max="3" width="12.7109375" bestFit="1" customWidth="1"/>
    <col min="4" max="4" width="15.42578125" bestFit="1" customWidth="1"/>
    <col min="5" max="7" width="8" bestFit="1" customWidth="1"/>
    <col min="8" max="8" width="9" bestFit="1" customWidth="1"/>
    <col min="9" max="9" width="8" bestFit="1" customWidth="1"/>
    <col min="10" max="10" width="9" bestFit="1" customWidth="1"/>
    <col min="11" max="11" width="8" bestFit="1" customWidth="1"/>
    <col min="12" max="12" width="9" bestFit="1" customWidth="1"/>
    <col min="13" max="13" width="15.42578125" bestFit="1" customWidth="1"/>
    <col min="14" max="22" width="5" bestFit="1" customWidth="1"/>
    <col min="23" max="23" width="17.28515625" bestFit="1" customWidth="1"/>
    <col min="24" max="24" width="20.42578125" bestFit="1" customWidth="1"/>
  </cols>
  <sheetData>
    <row r="2" spans="1:3" x14ac:dyDescent="0.25">
      <c r="A2" s="9" t="s">
        <v>34</v>
      </c>
    </row>
    <row r="3" spans="1:3" x14ac:dyDescent="0.25">
      <c r="B3" s="10" t="s">
        <v>36</v>
      </c>
      <c r="C3" t="s">
        <v>35</v>
      </c>
    </row>
    <row r="4" spans="1:3" x14ac:dyDescent="0.25">
      <c r="B4" s="11" t="s">
        <v>10</v>
      </c>
      <c r="C4" s="5">
        <v>148500</v>
      </c>
    </row>
    <row r="5" spans="1:3" x14ac:dyDescent="0.25">
      <c r="B5" s="11" t="s">
        <v>26</v>
      </c>
      <c r="C5" s="5">
        <v>23000</v>
      </c>
    </row>
    <row r="6" spans="1:3" x14ac:dyDescent="0.25">
      <c r="B6" s="11" t="s">
        <v>17</v>
      </c>
      <c r="C6" s="5">
        <v>10000</v>
      </c>
    </row>
    <row r="7" spans="1:3" x14ac:dyDescent="0.25">
      <c r="B7" s="11" t="s">
        <v>37</v>
      </c>
      <c r="C7" s="5">
        <v>181500</v>
      </c>
    </row>
    <row r="10" spans="1:3" x14ac:dyDescent="0.25">
      <c r="A10" s="9" t="s">
        <v>38</v>
      </c>
    </row>
    <row r="11" spans="1:3" x14ac:dyDescent="0.25">
      <c r="B11" s="10" t="s">
        <v>36</v>
      </c>
      <c r="C11" t="s">
        <v>35</v>
      </c>
    </row>
    <row r="12" spans="1:3" x14ac:dyDescent="0.25">
      <c r="B12" s="11" t="s">
        <v>11</v>
      </c>
      <c r="C12" s="13">
        <v>0.3415977961432507</v>
      </c>
    </row>
    <row r="13" spans="1:3" x14ac:dyDescent="0.25">
      <c r="B13" s="11" t="s">
        <v>23</v>
      </c>
      <c r="C13" s="13">
        <v>0.3168044077134986</v>
      </c>
    </row>
    <row r="14" spans="1:3" x14ac:dyDescent="0.25">
      <c r="B14" s="11" t="s">
        <v>14</v>
      </c>
      <c r="C14" s="13">
        <v>0.18181818181818182</v>
      </c>
    </row>
    <row r="15" spans="1:3" x14ac:dyDescent="0.25">
      <c r="B15" s="11" t="s">
        <v>18</v>
      </c>
      <c r="C15" s="13">
        <v>0.15977961432506887</v>
      </c>
    </row>
    <row r="16" spans="1:3" x14ac:dyDescent="0.25">
      <c r="B16" s="11" t="s">
        <v>37</v>
      </c>
      <c r="C16" s="13">
        <v>1</v>
      </c>
    </row>
    <row r="19" spans="1:3" x14ac:dyDescent="0.25">
      <c r="A19" s="9" t="s">
        <v>39</v>
      </c>
    </row>
    <row r="20" spans="1:3" x14ac:dyDescent="0.25">
      <c r="B20" s="10" t="s">
        <v>36</v>
      </c>
      <c r="C20" t="s">
        <v>35</v>
      </c>
    </row>
    <row r="21" spans="1:3" x14ac:dyDescent="0.25">
      <c r="B21" s="12">
        <v>45292</v>
      </c>
      <c r="C21" s="5">
        <v>55000</v>
      </c>
    </row>
    <row r="22" spans="1:3" x14ac:dyDescent="0.25">
      <c r="B22" s="12">
        <v>45293</v>
      </c>
      <c r="C22" s="5">
        <v>18000</v>
      </c>
    </row>
    <row r="23" spans="1:3" x14ac:dyDescent="0.25">
      <c r="B23" s="12">
        <v>45294</v>
      </c>
      <c r="C23" s="5">
        <v>3000</v>
      </c>
    </row>
    <row r="24" spans="1:3" x14ac:dyDescent="0.25">
      <c r="B24" s="12">
        <v>45295</v>
      </c>
      <c r="C24" s="5">
        <v>4000</v>
      </c>
    </row>
    <row r="25" spans="1:3" x14ac:dyDescent="0.25">
      <c r="B25" s="12">
        <v>45296</v>
      </c>
      <c r="C25" s="5">
        <v>2500</v>
      </c>
    </row>
    <row r="26" spans="1:3" x14ac:dyDescent="0.25">
      <c r="B26" s="12">
        <v>45297</v>
      </c>
      <c r="C26" s="5">
        <v>15000</v>
      </c>
    </row>
    <row r="27" spans="1:3" x14ac:dyDescent="0.25">
      <c r="B27" s="12">
        <v>45298</v>
      </c>
      <c r="C27" s="5">
        <v>8000</v>
      </c>
    </row>
    <row r="28" spans="1:3" x14ac:dyDescent="0.25">
      <c r="B28" s="12">
        <v>45299</v>
      </c>
      <c r="C28" s="5">
        <v>55000</v>
      </c>
    </row>
    <row r="29" spans="1:3" x14ac:dyDescent="0.25">
      <c r="B29" s="12">
        <v>45300</v>
      </c>
      <c r="C29" s="5">
        <v>3000</v>
      </c>
    </row>
    <row r="30" spans="1:3" x14ac:dyDescent="0.25">
      <c r="B30" s="12">
        <v>45301</v>
      </c>
      <c r="C30" s="5">
        <v>18000</v>
      </c>
    </row>
    <row r="31" spans="1:3" x14ac:dyDescent="0.25">
      <c r="B31" s="12" t="s">
        <v>37</v>
      </c>
      <c r="C31" s="5">
        <v>181500</v>
      </c>
    </row>
    <row r="34" spans="1:3" x14ac:dyDescent="0.25">
      <c r="A34" s="9" t="s">
        <v>40</v>
      </c>
    </row>
    <row r="35" spans="1:3" x14ac:dyDescent="0.25">
      <c r="B35" s="10" t="s">
        <v>36</v>
      </c>
      <c r="C35" t="s">
        <v>35</v>
      </c>
    </row>
    <row r="36" spans="1:3" x14ac:dyDescent="0.25">
      <c r="B36" s="11" t="s">
        <v>8</v>
      </c>
      <c r="C36" s="5">
        <v>55000</v>
      </c>
    </row>
    <row r="37" spans="1:3" x14ac:dyDescent="0.25">
      <c r="B37" s="11" t="s">
        <v>29</v>
      </c>
      <c r="C37" s="5">
        <v>55000</v>
      </c>
    </row>
    <row r="38" spans="1:3" x14ac:dyDescent="0.25">
      <c r="B38" s="11" t="s">
        <v>31</v>
      </c>
      <c r="C38" s="5">
        <v>18000</v>
      </c>
    </row>
    <row r="39" spans="1:3" x14ac:dyDescent="0.25">
      <c r="B39" s="11" t="s">
        <v>12</v>
      </c>
      <c r="C39" s="5">
        <v>18000</v>
      </c>
    </row>
    <row r="40" spans="1:3" x14ac:dyDescent="0.25">
      <c r="B40" s="11" t="s">
        <v>37</v>
      </c>
      <c r="C40" s="5">
        <v>146000</v>
      </c>
    </row>
    <row r="51" spans="2:4" x14ac:dyDescent="0.25">
      <c r="B51" s="10" t="s">
        <v>36</v>
      </c>
      <c r="C51" t="s">
        <v>35</v>
      </c>
      <c r="D51" t="s">
        <v>41</v>
      </c>
    </row>
    <row r="52" spans="2:4" x14ac:dyDescent="0.25">
      <c r="B52" s="11" t="s">
        <v>10</v>
      </c>
      <c r="C52" s="5">
        <v>148500</v>
      </c>
      <c r="D52" s="15">
        <v>6</v>
      </c>
    </row>
    <row r="53" spans="2:4" x14ac:dyDescent="0.25">
      <c r="B53" s="14" t="s">
        <v>13</v>
      </c>
      <c r="C53" s="5">
        <v>36000</v>
      </c>
      <c r="D53" s="15">
        <v>3</v>
      </c>
    </row>
    <row r="54" spans="2:4" x14ac:dyDescent="0.25">
      <c r="B54" s="14" t="s">
        <v>9</v>
      </c>
      <c r="C54" s="5">
        <v>110000</v>
      </c>
      <c r="D54" s="15">
        <v>2</v>
      </c>
    </row>
    <row r="55" spans="2:4" x14ac:dyDescent="0.25">
      <c r="B55" s="14" t="s">
        <v>22</v>
      </c>
      <c r="C55" s="5">
        <v>2500</v>
      </c>
      <c r="D55" s="15">
        <v>1</v>
      </c>
    </row>
    <row r="56" spans="2:4" x14ac:dyDescent="0.25">
      <c r="B56" s="11" t="s">
        <v>17</v>
      </c>
      <c r="C56" s="5">
        <v>10000</v>
      </c>
      <c r="D56" s="15">
        <v>4</v>
      </c>
    </row>
    <row r="57" spans="2:4" x14ac:dyDescent="0.25">
      <c r="B57" s="14" t="s">
        <v>16</v>
      </c>
      <c r="C57" s="5">
        <v>6000</v>
      </c>
      <c r="D57" s="15">
        <v>3</v>
      </c>
    </row>
    <row r="58" spans="2:4" x14ac:dyDescent="0.25">
      <c r="B58" s="14" t="s">
        <v>20</v>
      </c>
      <c r="C58" s="5">
        <v>4000</v>
      </c>
      <c r="D58" s="15">
        <v>1</v>
      </c>
    </row>
    <row r="59" spans="2:4" x14ac:dyDescent="0.25">
      <c r="B59" s="11" t="s">
        <v>26</v>
      </c>
      <c r="C59" s="5">
        <v>23000</v>
      </c>
      <c r="D59" s="15">
        <v>3</v>
      </c>
    </row>
    <row r="60" spans="2:4" x14ac:dyDescent="0.25">
      <c r="B60" s="14" t="s">
        <v>28</v>
      </c>
      <c r="C60" s="5">
        <v>8000</v>
      </c>
      <c r="D60" s="15">
        <v>2</v>
      </c>
    </row>
    <row r="61" spans="2:4" x14ac:dyDescent="0.25">
      <c r="B61" s="14" t="s">
        <v>25</v>
      </c>
      <c r="C61" s="5">
        <v>15000</v>
      </c>
      <c r="D61" s="15">
        <v>1</v>
      </c>
    </row>
    <row r="62" spans="2:4" x14ac:dyDescent="0.25">
      <c r="B62" s="11" t="s">
        <v>37</v>
      </c>
      <c r="C62" s="5">
        <v>181500</v>
      </c>
      <c r="D62" s="15">
        <v>13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9C79-717B-49DD-BCF8-E5BDB0363D4C}">
  <dimension ref="P2:Q13"/>
  <sheetViews>
    <sheetView tabSelected="1" topLeftCell="B3" zoomScale="112" zoomScaleNormal="112" workbookViewId="0">
      <selection activeCell="P10" sqref="P10:Q10"/>
    </sheetView>
  </sheetViews>
  <sheetFormatPr defaultRowHeight="15" x14ac:dyDescent="0.25"/>
  <cols>
    <col min="16" max="16" width="13.85546875" customWidth="1"/>
    <col min="17" max="17" width="12" customWidth="1"/>
  </cols>
  <sheetData>
    <row r="2" spans="16:17" ht="15.75" thickBot="1" x14ac:dyDescent="0.3"/>
    <row r="3" spans="16:17" x14ac:dyDescent="0.25">
      <c r="P3" s="18" t="s">
        <v>36</v>
      </c>
      <c r="Q3" s="19" t="s">
        <v>35</v>
      </c>
    </row>
    <row r="4" spans="16:17" x14ac:dyDescent="0.25">
      <c r="P4" s="16" t="s">
        <v>8</v>
      </c>
      <c r="Q4" s="20">
        <v>55000</v>
      </c>
    </row>
    <row r="5" spans="16:17" x14ac:dyDescent="0.25">
      <c r="P5" s="16" t="s">
        <v>29</v>
      </c>
      <c r="Q5" s="20">
        <v>55000</v>
      </c>
    </row>
    <row r="6" spans="16:17" x14ac:dyDescent="0.25">
      <c r="P6" s="16" t="s">
        <v>31</v>
      </c>
      <c r="Q6" s="20">
        <v>18000</v>
      </c>
    </row>
    <row r="7" spans="16:17" x14ac:dyDescent="0.25">
      <c r="P7" s="16" t="s">
        <v>12</v>
      </c>
      <c r="Q7" s="20">
        <v>18000</v>
      </c>
    </row>
    <row r="8" spans="16:17" ht="15.75" thickBot="1" x14ac:dyDescent="0.3">
      <c r="P8" s="17" t="s">
        <v>37</v>
      </c>
      <c r="Q8" s="21">
        <v>146000</v>
      </c>
    </row>
    <row r="10" spans="16:17" x14ac:dyDescent="0.25">
      <c r="P10" s="22" t="s">
        <v>42</v>
      </c>
      <c r="Q10" s="22" t="s">
        <v>43</v>
      </c>
    </row>
    <row r="11" spans="16:17" x14ac:dyDescent="0.25">
      <c r="P11" t="str">
        <f>'Pivot Table'!B36</f>
        <v>Rahul</v>
      </c>
      <c r="Q11">
        <f>GETPIVOTDATA("Sales",'Pivot Table'!$B$35,"Customer","Rahul")</f>
        <v>55000</v>
      </c>
    </row>
    <row r="12" spans="16:17" x14ac:dyDescent="0.25">
      <c r="P12" t="str">
        <f>'Pivot Table'!B37</f>
        <v>Karan</v>
      </c>
      <c r="Q12">
        <f>GETPIVOTDATA("Sales",'Pivot Table'!$B$35,"Customer","Rahul")</f>
        <v>55000</v>
      </c>
    </row>
    <row r="13" spans="16:17" x14ac:dyDescent="0.25">
      <c r="P13" t="str">
        <f>'Pivot Table'!B38</f>
        <v>Vikram</v>
      </c>
      <c r="Q13">
        <f>GETPIVOTDATA("Sales",'Pivot Table'!$B$35,"Customer","Rahul")</f>
        <v>55000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2026-03-27T04:45:23Z</dcterms:created>
  <dcterms:modified xsi:type="dcterms:W3CDTF">2026-03-27T05:59:09Z</dcterms:modified>
</cp:coreProperties>
</file>
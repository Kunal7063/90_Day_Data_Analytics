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5-Sales-Analysis-Project\"/>
    </mc:Choice>
  </mc:AlternateContent>
  <xr:revisionPtr revIDLastSave="0" documentId="8_{D03C5088-4572-4F6C-BB3E-40DEE85F0092}" xr6:coauthVersionLast="47" xr6:coauthVersionMax="47" xr10:uidLastSave="{00000000-0000-0000-0000-000000000000}"/>
  <bookViews>
    <workbookView xWindow="-120" yWindow="-120" windowWidth="20730" windowHeight="11280" activeTab="2" xr2:uid="{0950D702-5685-449F-814E-BC21922413ED}"/>
  </bookViews>
  <sheets>
    <sheet name="Sheet1" sheetId="1" r:id="rId1"/>
    <sheet name="Pivot Table" sheetId="2" r:id="rId2"/>
    <sheet name="Dashboard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 a="1"/>
  <c r="F10" i="1" s="1"/>
  <c r="F11" i="1" a="1"/>
  <c r="F11" i="1" s="1"/>
  <c r="F2" i="1" a="1"/>
  <c r="F2" i="1" s="1"/>
  <c r="F3" i="1" a="1"/>
  <c r="F3" i="1"/>
  <c r="F4" i="1" a="1"/>
  <c r="F4" i="1" s="1"/>
  <c r="F5" i="1" a="1"/>
  <c r="F5" i="1"/>
  <c r="F6" i="1" a="1"/>
  <c r="F6" i="1" s="1"/>
  <c r="F7" i="1" a="1"/>
  <c r="F7" i="1" s="1"/>
  <c r="F8" i="1" a="1"/>
  <c r="F8" i="1" s="1"/>
  <c r="F9" i="1" a="1"/>
  <c r="F9" i="1" s="1"/>
  <c r="I7" i="1"/>
  <c r="I6" i="1"/>
  <c r="I5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<sst xmlns="http://schemas.openxmlformats.org/spreadsheetml/2006/main" count="53" uniqueCount="27">
  <si>
    <t>Order_ID</t>
  </si>
  <si>
    <t>Product</t>
  </si>
  <si>
    <t>Category</t>
  </si>
  <si>
    <t>Sales</t>
  </si>
  <si>
    <t>Region</t>
  </si>
  <si>
    <t>Laptop</t>
  </si>
  <si>
    <t>Electronics</t>
  </si>
  <si>
    <t>East</t>
  </si>
  <si>
    <t>Phone</t>
  </si>
  <si>
    <t>West</t>
  </si>
  <si>
    <t>Shoes</t>
  </si>
  <si>
    <t>Fashion</t>
  </si>
  <si>
    <t>North</t>
  </si>
  <si>
    <t>Jacket</t>
  </si>
  <si>
    <t>Headphones</t>
  </si>
  <si>
    <t>South</t>
  </si>
  <si>
    <t>Table</t>
  </si>
  <si>
    <t>Furniture</t>
  </si>
  <si>
    <t>Chair</t>
  </si>
  <si>
    <t>Highest Sales →</t>
  </si>
  <si>
    <t xml:space="preserve">Average Sales  → </t>
  </si>
  <si>
    <t xml:space="preserve">Total Sales  → </t>
  </si>
  <si>
    <t>Lowest Sales →</t>
  </si>
  <si>
    <t>Performance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</si>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</sst>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1" fontId="1" fillId="0" borderId="0" xfId="0" applyNumberFormat="1" applyFont="1" applyAlignment="1">
      <alignment horizontal="left" vertical="center" wrapText="1"/>
    </xf>
    <xf numFmtId="171" fontId="0" fillId="0" borderId="0" xfId="0" applyNumberFormat="1" applyAlignment="1">
      <alignment horizontal="left" vertical="center" wrapText="1"/>
    </xf>
    <xf numFmtId="17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171" fontId="0" fillId="2" borderId="0" xfId="0" applyNumberFormat="1" applyFill="1"/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[Day-15-Sales-Analysis-Project.xlsx]Pivot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Catagori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Table'!$B$4:$B$7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</c:strCache>
            </c:strRef>
          </c:cat>
          <c:val>
            <c:numRef>
              <c:f>'Pivot Table'!$C$4:$C$7</c:f>
              <c:numCache>
                <c:formatCode>_ [$₹-4009]\ * #,##0_ ;_ [$₹-4009]\ * \-#,##0_ ;_ [$₹-4009]\ * "-"??_ ;_ @_ </c:formatCode>
                <c:ptCount val="3"/>
                <c:pt idx="0">
                  <c:v>148500</c:v>
                </c:pt>
                <c:pt idx="1">
                  <c:v>10000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D-46E4-AF33-28071C367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5192447"/>
        <c:axId val="1370256047"/>
        <c:axId val="0"/>
      </c:bar3DChart>
      <c:catAx>
        <c:axId val="13351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6047"/>
        <c:crosses val="autoZero"/>
        <c:auto val="1"/>
        <c:lblAlgn val="ctr"/>
        <c:lblOffset val="100"/>
        <c:noMultiLvlLbl val="0"/>
      </c:catAx>
      <c:valAx>
        <c:axId val="13702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1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[Day-15-Sales-Analysis-Project.xlsx]Pivot Table!PivotTable2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F83-4CA9-8702-166A1247FB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Table'!$B$13:$B$17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Table'!$C$13:$C$17</c:f>
              <c:numCache>
                <c:formatCode>0.00%</c:formatCode>
                <c:ptCount val="4"/>
                <c:pt idx="0">
                  <c:v>0.3415977961432507</c:v>
                </c:pt>
                <c:pt idx="1">
                  <c:v>0.15977961432506887</c:v>
                </c:pt>
                <c:pt idx="2">
                  <c:v>0.3168044077134986</c:v>
                </c:pt>
                <c:pt idx="3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3-4CA9-8702-166A1247F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[Day-15-Sales-Analysis-Project.xlsx]Pivot 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Catagori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Table'!$B$4:$B$7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</c:strCache>
            </c:strRef>
          </c:cat>
          <c:val>
            <c:numRef>
              <c:f>'Pivot Table'!$C$4:$C$7</c:f>
              <c:numCache>
                <c:formatCode>_ [$₹-4009]\ * #,##0_ ;_ [$₹-4009]\ * \-#,##0_ ;_ [$₹-4009]\ * "-"??_ ;_ @_ </c:formatCode>
                <c:ptCount val="3"/>
                <c:pt idx="0">
                  <c:v>148500</c:v>
                </c:pt>
                <c:pt idx="1">
                  <c:v>10000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4D45-86CF-2CBE733B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5192447"/>
        <c:axId val="1370256047"/>
        <c:axId val="0"/>
      </c:bar3DChart>
      <c:catAx>
        <c:axId val="13351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6047"/>
        <c:crosses val="autoZero"/>
        <c:auto val="1"/>
        <c:lblAlgn val="ctr"/>
        <c:lblOffset val="100"/>
        <c:noMultiLvlLbl val="0"/>
      </c:catAx>
      <c:valAx>
        <c:axId val="13702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1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[Day-15-Sales-Analysis-Project.xlsx]Pivot Table!PivotTable2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BD7-4667-B579-75B4D13092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BD7-4667-B579-75B4D13092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BD7-4667-B579-75B4D13092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BD7-4667-B579-75B4D13092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Table'!$B$13:$B$17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Table'!$C$13:$C$17</c:f>
              <c:numCache>
                <c:formatCode>0.00%</c:formatCode>
                <c:ptCount val="4"/>
                <c:pt idx="0">
                  <c:v>0.3415977961432507</c:v>
                </c:pt>
                <c:pt idx="1">
                  <c:v>0.15977961432506887</c:v>
                </c:pt>
                <c:pt idx="2">
                  <c:v>0.3168044077134986</c:v>
                </c:pt>
                <c:pt idx="3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D7-4667-B579-75B4D1309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552449</xdr:colOff>
      <xdr:row>0</xdr:row>
      <xdr:rowOff>0</xdr:rowOff>
    </xdr:from>
    <xdr:to>
      <xdr:col>11</xdr:col>
      <xdr:colOff>257175</xdr:colOff>
      <xdr:row>11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F97D5-1AEB-0EA1-9714-558434038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257175</xdr:colOff>
      <xdr:row>12</xdr:row>
      <xdr:rowOff>9524</xdr:rowOff>
    </xdr:from>
    <xdr:to>
      <xdr:col>10</xdr:col>
      <xdr:colOff>200025</xdr:colOff>
      <xdr:row>25</xdr:row>
      <xdr:rowOff>23811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7192B6-98D7-5C39-23B8-75D20F512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295273</xdr:colOff>
      <xdr:row>1</xdr:row>
      <xdr:rowOff>19049</xdr:rowOff>
    </xdr:from>
    <xdr:to>
      <xdr:col>8</xdr:col>
      <xdr:colOff>28574</xdr:colOff>
      <xdr:row>14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A4133-D327-4E3D-8A30-3D4C70B70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0</xdr:row>
      <xdr:rowOff>180974</xdr:rowOff>
    </xdr:from>
    <xdr:to>
      <xdr:col>15</xdr:col>
      <xdr:colOff>219075</xdr:colOff>
      <xdr:row>14</xdr:row>
      <xdr:rowOff>4761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A7BF07-DA91-44C6-B25C-9610A1BC3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Das" refreshedDate="46107.518495717595" createdVersion="8" refreshedVersion="8" minRefreshableVersion="3" recordCount="10" xr:uid="{BF45FCB1-D2D3-4241-A57C-7FA0F0D02CEB}">
  <cacheSource type="worksheet">
    <worksheetSource ref="A1:E11" sheet="Sheet1"/>
  </cacheSource>
  <cacheFields count="5">
    <cacheField name="Order_ID" numFmtId="0">
      <sharedItems containsSemiMixedTypes="0" containsString="0" containsNumber="1" containsInteger="1" minValue="101" maxValue="110"/>
    </cacheField>
    <cacheField name="Product" numFmtId="0">
      <sharedItems/>
    </cacheField>
    <cacheField name="Category" numFmtId="0">
      <sharedItems count="3">
        <s v="Electronics"/>
        <s v="Fashion"/>
        <s v="Furniture"/>
      </sharedItems>
    </cacheField>
    <cacheField name="Sales" numFmtId="171">
      <sharedItems containsSemiMixedTypes="0" containsString="0" containsNumber="1" containsInteger="1" minValue="2500" maxValue="55000"/>
    </cacheField>
    <cacheField name="Region" numFmtId="0">
      <sharedItems count="4">
        <s v="East"/>
        <s v="West"/>
        <s v="North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Laptop"/>
    <x v="0"/>
    <n v="55000"/>
    <x v="0"/>
  </r>
  <r>
    <n v="102"/>
    <s v="Phone"/>
    <x v="0"/>
    <n v="18000"/>
    <x v="1"/>
  </r>
  <r>
    <n v="103"/>
    <s v="Shoes"/>
    <x v="1"/>
    <n v="3000"/>
    <x v="2"/>
  </r>
  <r>
    <n v="104"/>
    <s v="Jacket"/>
    <x v="1"/>
    <n v="4000"/>
    <x v="0"/>
  </r>
  <r>
    <n v="105"/>
    <s v="Headphones"/>
    <x v="0"/>
    <n v="2500"/>
    <x v="3"/>
  </r>
  <r>
    <n v="106"/>
    <s v="Table"/>
    <x v="2"/>
    <n v="15000"/>
    <x v="1"/>
  </r>
  <r>
    <n v="107"/>
    <s v="Chair"/>
    <x v="2"/>
    <n v="8000"/>
    <x v="2"/>
  </r>
  <r>
    <n v="108"/>
    <s v="Laptop"/>
    <x v="0"/>
    <n v="55000"/>
    <x v="3"/>
  </r>
  <r>
    <n v="109"/>
    <s v="Shoes"/>
    <x v="1"/>
    <n v="3000"/>
    <x v="0"/>
  </r>
  <r>
    <n v="110"/>
    <s v="Phone"/>
    <x v="0"/>
    <n v="18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1A50F-EBA1-4416-996A-69266833D21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B12:C17" firstHeaderRow="1" firstDataRow="1" firstDataCol="1"/>
  <pivotFields count="5"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7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howDataAs="percentOfTotal" baseField="0" baseItem="0" numFmtId="10"/>
  </dataFields>
  <chartFormats count="7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F6AA0-5224-4378-AC5E-F29299ECC41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3:C7" firstHeaderRow="1" firstDataRow="1" firstDataCol="1"/>
  <pivotFields count="5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7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71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AD54-B5BB-4EBF-8AEB-BD17A88EE6E4}">
  <dimension ref="A1:I11"/>
  <sheetViews>
    <sheetView workbookViewId="0">
      <selection activeCell="G17" sqref="G17"/>
    </sheetView>
  </sheetViews>
  <sheetFormatPr defaultRowHeight="15" x14ac:dyDescent="0.25"/>
  <cols>
    <col min="2" max="2" width="16" customWidth="1"/>
    <col min="3" max="3" width="13.85546875" customWidth="1"/>
    <col min="4" max="4" width="13.140625" style="5" customWidth="1"/>
    <col min="6" max="6" width="12.140625" customWidth="1"/>
    <col min="7" max="7" width="10" customWidth="1"/>
    <col min="8" max="8" width="15" customWidth="1"/>
    <col min="9" max="9" width="10.85546875" customWidth="1"/>
    <col min="10" max="10" width="13.28515625" customWidth="1"/>
    <col min="11" max="11" width="19" customWidth="1"/>
    <col min="12" max="12" width="1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t="s">
        <v>23</v>
      </c>
    </row>
    <row r="2" spans="1:9" x14ac:dyDescent="0.25">
      <c r="A2" s="2">
        <v>101</v>
      </c>
      <c r="B2" s="2" t="s">
        <v>5</v>
      </c>
      <c r="C2" s="2" t="s">
        <v>6</v>
      </c>
      <c r="D2" s="4">
        <v>55000</v>
      </c>
      <c r="E2" s="2" t="s">
        <v>7</v>
      </c>
      <c r="F2" t="str" cm="1">
        <f t="array" ref="F2">_xlfn.IFS(D2 &gt;20000, "TOP", D2&gt;=5000, "MEDIUM", D2&lt;5000, "Low")</f>
        <v>TOP</v>
      </c>
    </row>
    <row r="3" spans="1:9" x14ac:dyDescent="0.25">
      <c r="A3" s="2">
        <v>108</v>
      </c>
      <c r="B3" s="2" t="s">
        <v>5</v>
      </c>
      <c r="C3" s="2" t="s">
        <v>6</v>
      </c>
      <c r="D3" s="4">
        <v>55000</v>
      </c>
      <c r="E3" s="2" t="s">
        <v>15</v>
      </c>
      <c r="F3" t="str" cm="1">
        <f t="array" ref="F3">_xlfn.IFS(D3 &gt;20000, "TOP", D3&gt;=5000, "MEDIUM", D3&lt;5000, "Low")</f>
        <v>TOP</v>
      </c>
    </row>
    <row r="4" spans="1:9" ht="22.5" customHeight="1" x14ac:dyDescent="0.25">
      <c r="A4" s="2">
        <v>102</v>
      </c>
      <c r="B4" s="2" t="s">
        <v>8</v>
      </c>
      <c r="C4" s="2" t="s">
        <v>6</v>
      </c>
      <c r="D4" s="4">
        <v>18000</v>
      </c>
      <c r="E4" s="2" t="s">
        <v>9</v>
      </c>
      <c r="F4" t="str" cm="1">
        <f t="array" ref="F4">_xlfn.IFS(D4 &gt;20000, "TOP", D4&gt;=5000, "MEDIUM", D4&lt;5000, "Low")</f>
        <v>MEDIUM</v>
      </c>
      <c r="H4" s="9" t="s">
        <v>21</v>
      </c>
      <c r="I4" s="10">
        <f>SUM(D2:D11)</f>
        <v>181500</v>
      </c>
    </row>
    <row r="5" spans="1:9" ht="15" customHeight="1" x14ac:dyDescent="0.25">
      <c r="A5" s="2">
        <v>110</v>
      </c>
      <c r="B5" s="2" t="s">
        <v>8</v>
      </c>
      <c r="C5" s="2" t="s">
        <v>6</v>
      </c>
      <c r="D5" s="4">
        <v>18000</v>
      </c>
      <c r="E5" s="2" t="s">
        <v>12</v>
      </c>
      <c r="F5" t="str" cm="1">
        <f t="array" ref="F5">_xlfn.IFS(D5 &gt;20000, "TOP", D5&gt;=5000, "MEDIUM", D5&lt;5000, "Low")</f>
        <v>MEDIUM</v>
      </c>
      <c r="H5" s="11" t="s">
        <v>20</v>
      </c>
      <c r="I5" s="10">
        <f>AVERAGE(D2:D11)</f>
        <v>18150</v>
      </c>
    </row>
    <row r="6" spans="1:9" x14ac:dyDescent="0.25">
      <c r="A6" s="2">
        <v>106</v>
      </c>
      <c r="B6" s="2" t="s">
        <v>16</v>
      </c>
      <c r="C6" s="2" t="s">
        <v>17</v>
      </c>
      <c r="D6" s="4">
        <v>15000</v>
      </c>
      <c r="E6" s="2" t="s">
        <v>9</v>
      </c>
      <c r="F6" t="str" cm="1">
        <f t="array" ref="F6">_xlfn.IFS(D6 &gt;20000, "TOP", D6&gt;=5000, "MEDIUM", D6&lt;5000, "Low")</f>
        <v>MEDIUM</v>
      </c>
      <c r="H6" s="9" t="s">
        <v>19</v>
      </c>
      <c r="I6" s="10">
        <f>MAX(D2:D11)</f>
        <v>55000</v>
      </c>
    </row>
    <row r="7" spans="1:9" x14ac:dyDescent="0.25">
      <c r="A7" s="2">
        <v>107</v>
      </c>
      <c r="B7" s="2" t="s">
        <v>18</v>
      </c>
      <c r="C7" s="2" t="s">
        <v>17</v>
      </c>
      <c r="D7" s="4">
        <v>8000</v>
      </c>
      <c r="E7" s="2" t="s">
        <v>12</v>
      </c>
      <c r="F7" t="str" cm="1">
        <f t="array" ref="F7">_xlfn.IFS(D7 &gt;20000, "TOP", D7&gt;=5000, "MEDIUM", D7&lt;5000, "Low")</f>
        <v>MEDIUM</v>
      </c>
      <c r="H7" s="9" t="s">
        <v>22</v>
      </c>
      <c r="I7" s="10">
        <f>MIN(D2:D11)</f>
        <v>2500</v>
      </c>
    </row>
    <row r="8" spans="1:9" x14ac:dyDescent="0.25">
      <c r="A8" s="2">
        <v>104</v>
      </c>
      <c r="B8" s="2" t="s">
        <v>13</v>
      </c>
      <c r="C8" s="2" t="s">
        <v>11</v>
      </c>
      <c r="D8" s="4">
        <v>4000</v>
      </c>
      <c r="E8" s="2" t="s">
        <v>7</v>
      </c>
      <c r="F8" t="str" cm="1">
        <f t="array" ref="F8">_xlfn.IFS(D8 &gt;20000, "TOP", D8&gt;=5000, "MEDIUM", D8&lt;5000, "Low")</f>
        <v>Low</v>
      </c>
    </row>
    <row r="9" spans="1:9" x14ac:dyDescent="0.25">
      <c r="A9" s="2">
        <v>103</v>
      </c>
      <c r="B9" s="2" t="s">
        <v>10</v>
      </c>
      <c r="C9" s="2" t="s">
        <v>11</v>
      </c>
      <c r="D9" s="4">
        <v>3000</v>
      </c>
      <c r="E9" s="2" t="s">
        <v>12</v>
      </c>
      <c r="F9" t="str" cm="1">
        <f t="array" ref="F9">_xlfn.IFS(D9 &gt;20000, "TOP", D9&gt;=5000, "MEDIUM", D9&lt;5000, "Low")</f>
        <v>Low</v>
      </c>
    </row>
    <row r="10" spans="1:9" x14ac:dyDescent="0.25">
      <c r="A10" s="2">
        <v>109</v>
      </c>
      <c r="B10" s="2" t="s">
        <v>10</v>
      </c>
      <c r="C10" s="2" t="s">
        <v>11</v>
      </c>
      <c r="D10" s="4">
        <v>3000</v>
      </c>
      <c r="E10" s="2" t="s">
        <v>7</v>
      </c>
      <c r="F10" t="str" cm="1">
        <f t="array" ref="F10">_xlfn.IFS(D10 &gt;20000, "TOP", D10&gt;=5000, "MEDIUM", D10&lt;5000, "Low")</f>
        <v>Low</v>
      </c>
    </row>
    <row r="11" spans="1:9" x14ac:dyDescent="0.25">
      <c r="A11" s="2">
        <v>105</v>
      </c>
      <c r="B11" s="2" t="s">
        <v>14</v>
      </c>
      <c r="C11" s="2" t="s">
        <v>6</v>
      </c>
      <c r="D11" s="4">
        <v>2500</v>
      </c>
      <c r="E11" s="2" t="s">
        <v>15</v>
      </c>
      <c r="F11" t="str" cm="1">
        <f t="array" ref="F11">_xlfn.IFS(D11 &gt;20000, "TOP", D11&gt;=5000, "MEDIUM", D11&lt;5000, "Low")</f>
        <v>Low</v>
      </c>
    </row>
  </sheetData>
  <sortState xmlns:xlrd2="http://schemas.microsoft.com/office/spreadsheetml/2017/richdata2" ref="A2:F11">
    <sortCondition descending="1" ref="D2:D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4F6E-0FA8-460F-8C16-4EEE18E5E218}">
  <dimension ref="B3:C17"/>
  <sheetViews>
    <sheetView zoomScale="78" zoomScaleNormal="78" workbookViewId="0">
      <selection activeCell="N5" sqref="N5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3" spans="2:3" x14ac:dyDescent="0.25">
      <c r="B3" s="6" t="s">
        <v>25</v>
      </c>
      <c r="C3" t="s">
        <v>24</v>
      </c>
    </row>
    <row r="4" spans="2:3" x14ac:dyDescent="0.25">
      <c r="B4" s="7" t="s">
        <v>6</v>
      </c>
      <c r="C4" s="5">
        <v>148500</v>
      </c>
    </row>
    <row r="5" spans="2:3" x14ac:dyDescent="0.25">
      <c r="B5" s="7" t="s">
        <v>11</v>
      </c>
      <c r="C5" s="5">
        <v>10000</v>
      </c>
    </row>
    <row r="6" spans="2:3" x14ac:dyDescent="0.25">
      <c r="B6" s="7" t="s">
        <v>17</v>
      </c>
      <c r="C6" s="5">
        <v>23000</v>
      </c>
    </row>
    <row r="7" spans="2:3" x14ac:dyDescent="0.25">
      <c r="B7" s="7" t="s">
        <v>26</v>
      </c>
      <c r="C7" s="5">
        <v>181500</v>
      </c>
    </row>
    <row r="12" spans="2:3" x14ac:dyDescent="0.25">
      <c r="B12" s="6" t="s">
        <v>25</v>
      </c>
      <c r="C12" t="s">
        <v>24</v>
      </c>
    </row>
    <row r="13" spans="2:3" x14ac:dyDescent="0.25">
      <c r="B13" s="7" t="s">
        <v>7</v>
      </c>
      <c r="C13" s="8">
        <v>0.3415977961432507</v>
      </c>
    </row>
    <row r="14" spans="2:3" x14ac:dyDescent="0.25">
      <c r="B14" s="7" t="s">
        <v>12</v>
      </c>
      <c r="C14" s="8">
        <v>0.15977961432506887</v>
      </c>
    </row>
    <row r="15" spans="2:3" x14ac:dyDescent="0.25">
      <c r="B15" s="7" t="s">
        <v>15</v>
      </c>
      <c r="C15" s="8">
        <v>0.3168044077134986</v>
      </c>
    </row>
    <row r="16" spans="2:3" x14ac:dyDescent="0.25">
      <c r="B16" s="7" t="s">
        <v>9</v>
      </c>
      <c r="C16" s="8">
        <v>0.18181818181818182</v>
      </c>
    </row>
    <row r="17" spans="2:3" x14ac:dyDescent="0.25">
      <c r="B17" s="7" t="s">
        <v>26</v>
      </c>
      <c r="C17" s="8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43D7-AE0D-4531-8E18-F547C007D33A}">
  <dimension ref="A1"/>
  <sheetViews>
    <sheetView tabSelected="1" workbookViewId="0">
      <selection activeCell="K16" sqref="K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2026-03-26T06:53:10Z</dcterms:created>
  <dcterms:modified xsi:type="dcterms:W3CDTF">2026-03-26T07:45:39Z</dcterms:modified>
</cp:coreProperties>
</file>